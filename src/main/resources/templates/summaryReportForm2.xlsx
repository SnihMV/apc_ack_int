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3AE792F9-5280-4943-A42A-445A2DD3BD40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8" i="1" l="1"/>
</calcChain>
</file>

<file path=xl/sharedStrings.xml><?xml version="1.0" encoding="utf-8"?>
<sst xmlns="http://schemas.openxmlformats.org/spreadsheetml/2006/main" count="281" uniqueCount="188">
  <si>
    <t>Оперативная информация</t>
  </si>
  <si>
    <t>по заготовке кормов в хозяйствах Ленинградской области</t>
  </si>
  <si>
    <t>на</t>
  </si>
  <si>
    <t>Наименование</t>
  </si>
  <si>
    <t>ИНН</t>
  </si>
  <si>
    <t>Скошено всего кормовых угодий, га</t>
  </si>
  <si>
    <t>Травы на зеленый корм, сенаж, силос</t>
  </si>
  <si>
    <t>Многолетние травы на сено</t>
  </si>
  <si>
    <t>Кукуруза на корм</t>
  </si>
  <si>
    <t>Заготовлено, тонн</t>
  </si>
  <si>
    <t>В заготовленных кормах кормовых единиц</t>
  </si>
  <si>
    <t>Всего усл. гол. на …(ЦСУ)</t>
  </si>
  <si>
    <t>Кр. того зеленые и пастбищные корма, т</t>
  </si>
  <si>
    <t>многолетние травы</t>
  </si>
  <si>
    <t>однолетние травы</t>
  </si>
  <si>
    <t>сена</t>
  </si>
  <si>
    <t>сенажа(влажн. 44-55%)</t>
  </si>
  <si>
    <t>силоса всего</t>
  </si>
  <si>
    <t>силоса из провял. трав(вл. 56-74%)</t>
  </si>
  <si>
    <t>силоса из свежеск. трав (вл &gt;75%)</t>
  </si>
  <si>
    <t>картофель, овощные, к\ корн</t>
  </si>
  <si>
    <t>соломы</t>
  </si>
  <si>
    <t>Зерносенажа</t>
  </si>
  <si>
    <t>Зерна фуражного(вкл. плющ)</t>
  </si>
  <si>
    <t>всего, тонн</t>
  </si>
  <si>
    <t>на 1 усл.гол.заготовлено цент.к.ед.</t>
  </si>
  <si>
    <t>план</t>
  </si>
  <si>
    <t>факт тек. года</t>
  </si>
  <si>
    <t>всего</t>
  </si>
  <si>
    <t>1 укос</t>
  </si>
  <si>
    <t>2 укос</t>
  </si>
  <si>
    <t>3 и последующие укосы</t>
  </si>
  <si>
    <t>2 и последующие укосы</t>
  </si>
  <si>
    <t>факт прошл. года</t>
  </si>
  <si>
    <t>факт тек.года</t>
  </si>
  <si>
    <t>% к плану</t>
  </si>
  <si>
    <t>площадь укоса, га</t>
  </si>
  <si>
    <t>валовой сбор зеленой массы, тонн</t>
  </si>
  <si>
    <t>урожайность, ц/га</t>
  </si>
  <si>
    <t>валовой сбор, тонн</t>
  </si>
  <si>
    <t>$dist_x</t>
  </si>
  <si>
    <t>$dist_totalArea</t>
  </si>
  <si>
    <t>$dist_winterCrops</t>
  </si>
  <si>
    <t>$dist_value2</t>
  </si>
  <si>
    <t>$dist_value3</t>
  </si>
  <si>
    <t>$dist_value5</t>
  </si>
  <si>
    <t>$dist_value6</t>
  </si>
  <si>
    <t>$dist_value8</t>
  </si>
  <si>
    <t>$dist_value9</t>
  </si>
  <si>
    <t>$dist_value11</t>
  </si>
  <si>
    <t>$dist_value12</t>
  </si>
  <si>
    <t>$dist_value17</t>
  </si>
  <si>
    <t>$dist_value18</t>
  </si>
  <si>
    <t>$dist_value20</t>
  </si>
  <si>
    <t>$dist_value21</t>
  </si>
  <si>
    <t>$dist_value23</t>
  </si>
  <si>
    <t>$dist_value24</t>
  </si>
  <si>
    <t>$dist_value29</t>
  </si>
  <si>
    <t>$dist_value30</t>
  </si>
  <si>
    <t>$dist_value32</t>
  </si>
  <si>
    <t>$dist_value33</t>
  </si>
  <si>
    <t>$dist_value35</t>
  </si>
  <si>
    <t>$dist_value36</t>
  </si>
  <si>
    <t>$dist_value37</t>
  </si>
  <si>
    <t>$dist_value39</t>
  </si>
  <si>
    <t>$dist_value40</t>
  </si>
  <si>
    <t>$dist_value41</t>
  </si>
  <si>
    <t>$dist_value43</t>
  </si>
  <si>
    <t>$dist_value44</t>
  </si>
  <si>
    <t>$dist_value45</t>
  </si>
  <si>
    <t>$dist_value47</t>
  </si>
  <si>
    <t>$dist_value48</t>
  </si>
  <si>
    <t>$dist_value49</t>
  </si>
  <si>
    <t>$dist_value51</t>
  </si>
  <si>
    <t>$dist_value52</t>
  </si>
  <si>
    <t>$dist_value53</t>
  </si>
  <si>
    <t>$dist_value57</t>
  </si>
  <si>
    <t>$dist_value61</t>
  </si>
  <si>
    <t>$dist_value63</t>
  </si>
  <si>
    <t>$dist_value64</t>
  </si>
  <si>
    <t>$dist_value65</t>
  </si>
  <si>
    <t>$dist_value67</t>
  </si>
  <si>
    <t>$dist_value68</t>
  </si>
  <si>
    <t>$dist_value69</t>
  </si>
  <si>
    <t>$dist_value71</t>
  </si>
  <si>
    <t>$dist_value72</t>
  </si>
  <si>
    <t>$dist_value73</t>
  </si>
  <si>
    <t>$dist_value81</t>
  </si>
  <si>
    <t>$dist_value85</t>
  </si>
  <si>
    <t>$dist_name</t>
  </si>
  <si>
    <t>$prod_name</t>
  </si>
  <si>
    <t>$prod_inn</t>
  </si>
  <si>
    <t>$prod_x</t>
  </si>
  <si>
    <t>$prod_totalArea</t>
  </si>
  <si>
    <t>$prod_winterCrops</t>
  </si>
  <si>
    <t>$prod_value1</t>
  </si>
  <si>
    <t>$prod_value2</t>
  </si>
  <si>
    <t>$prod_value3</t>
  </si>
  <si>
    <t>$prod_value4</t>
  </si>
  <si>
    <t>$prod_value5</t>
  </si>
  <si>
    <t>$prod_value6</t>
  </si>
  <si>
    <t>$prod_value7</t>
  </si>
  <si>
    <t>$prod_value8</t>
  </si>
  <si>
    <t>$prod_value9</t>
  </si>
  <si>
    <t>$prod_value10</t>
  </si>
  <si>
    <t>$prod_value11</t>
  </si>
  <si>
    <t>$prod_value12</t>
  </si>
  <si>
    <t>$prod_value13</t>
  </si>
  <si>
    <t>$prod_value17</t>
  </si>
  <si>
    <t>$prod_value18</t>
  </si>
  <si>
    <t>$prod_value19</t>
  </si>
  <si>
    <t>$prod_value20</t>
  </si>
  <si>
    <t>$prod_value21</t>
  </si>
  <si>
    <t>$prod_value22</t>
  </si>
  <si>
    <t>$prod_value23</t>
  </si>
  <si>
    <t>$prod_value24</t>
  </si>
  <si>
    <t>$prod_value25</t>
  </si>
  <si>
    <t>$prod_value29</t>
  </si>
  <si>
    <t>$prod_value30</t>
  </si>
  <si>
    <t>$prod_value31</t>
  </si>
  <si>
    <t>$prod_value32</t>
  </si>
  <si>
    <t>$prod_value33</t>
  </si>
  <si>
    <t>$prod_value34</t>
  </si>
  <si>
    <t>$prod_value35</t>
  </si>
  <si>
    <t>$prod_value36</t>
  </si>
  <si>
    <t>$prod_value37</t>
  </si>
  <si>
    <t>$prod_value38</t>
  </si>
  <si>
    <t>$prod_value39</t>
  </si>
  <si>
    <t>$prod_value40</t>
  </si>
  <si>
    <t>$prod_value41</t>
  </si>
  <si>
    <t>$prod_value42</t>
  </si>
  <si>
    <t>$prod_value43</t>
  </si>
  <si>
    <t>$prod_value44</t>
  </si>
  <si>
    <t>$prod_value45</t>
  </si>
  <si>
    <t>$prod_value46</t>
  </si>
  <si>
    <t>$prod_value47</t>
  </si>
  <si>
    <t>$prod_value48</t>
  </si>
  <si>
    <t>$prod_value49</t>
  </si>
  <si>
    <t>$prod_value50</t>
  </si>
  <si>
    <t>$prod_value51</t>
  </si>
  <si>
    <t>$prod_value52</t>
  </si>
  <si>
    <t>$prod_value53</t>
  </si>
  <si>
    <t>$prod_value54</t>
  </si>
  <si>
    <t>$prod_value57</t>
  </si>
  <si>
    <t>$prod_value61</t>
  </si>
  <si>
    <t>$prod_value63</t>
  </si>
  <si>
    <t>$prod_value64</t>
  </si>
  <si>
    <t>$prod_value65</t>
  </si>
  <si>
    <t>$prod_value66</t>
  </si>
  <si>
    <t>$prod_value67</t>
  </si>
  <si>
    <t>$prod_value68</t>
  </si>
  <si>
    <t>$prod_value69</t>
  </si>
  <si>
    <t>$prod_value70</t>
  </si>
  <si>
    <t>$prod_value71</t>
  </si>
  <si>
    <t>$prod_value72</t>
  </si>
  <si>
    <t>$prod_value73</t>
  </si>
  <si>
    <t>$prod_value74</t>
  </si>
  <si>
    <t>$prod_value75</t>
  </si>
  <si>
    <t>$prod_value76</t>
  </si>
  <si>
    <t>$prod_value77</t>
  </si>
  <si>
    <t>$prod_value78</t>
  </si>
  <si>
    <t>$prod_value81</t>
  </si>
  <si>
    <t>$prod_value85</t>
  </si>
  <si>
    <t>$dist_pct_winterCrops_totalArea</t>
  </si>
  <si>
    <t>$dist_pct_value37_value36</t>
  </si>
  <si>
    <t>$dist_pct_value41_value40</t>
  </si>
  <si>
    <t>$dist_pct_value45_value44</t>
  </si>
  <si>
    <t>$dist_pct_value49_value48</t>
  </si>
  <si>
    <t>$dist_pct_value53_value52</t>
  </si>
  <si>
    <t>$dist_pct_value65_value64</t>
  </si>
  <si>
    <t>$dist_pct_value69_value68</t>
  </si>
  <si>
    <t>$dist_pct_value73_value72</t>
  </si>
  <si>
    <t>$dist_pct_value77_value76</t>
  </si>
  <si>
    <t>$dist_pdc_value3_value2</t>
  </si>
  <si>
    <t>$dist_pdc_value6_value5</t>
  </si>
  <si>
    <t>$dist_pdc_value9_value8</t>
  </si>
  <si>
    <t>$dist_pdc_value12_value11</t>
  </si>
  <si>
    <t>$dist_pdc_value18_value17</t>
  </si>
  <si>
    <t>$dist_pdc_value21_value20</t>
  </si>
  <si>
    <t>$dist_pdc_value24_value23</t>
  </si>
  <si>
    <t>$dist_pdc_value30_value29</t>
  </si>
  <si>
    <t>$dist_pdc_value33_value32</t>
  </si>
  <si>
    <t>$dist_pdc_value71_value89</t>
  </si>
  <si>
    <t>$dist_pdc_value72_value90</t>
  </si>
  <si>
    <t>$dist_pdc_value73_value81</t>
  </si>
  <si>
    <t>$cell_reportDate</t>
  </si>
  <si>
    <t>$cell_lastYear</t>
  </si>
  <si>
    <t>$cell_year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</si>
</sst>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1"/>
      <color indexed="8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4" fillId="0" borderId="0" xfId="0" applyNumberFormat="1" applyFont="1"/>
    <xf numFmtId="1" fontId="1" fillId="0" borderId="0" xfId="0" applyNumberFormat="1" applyFont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 wrapText="1"/>
    </xf>
    <xf numFmtId="164" fontId="6" fillId="0" borderId="6" xfId="0" applyNumberFormat="1" applyFont="1" applyBorder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top" wrapText="1"/>
    </xf>
    <xf numFmtId="49" fontId="6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49" fontId="6" fillId="0" borderId="1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_Лист" xfId="1" xr:uid="{17DEC6FC-A91F-4A1C-857F-93273F165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"/>
  <sheetViews>
    <sheetView tabSelected="1" zoomScaleNormal="100" workbookViewId="0">
      <selection activeCell="K19" sqref="K19"/>
    </sheetView>
  </sheetViews>
  <sheetFormatPr defaultRowHeight="15" x14ac:dyDescent="0.25"/>
  <cols>
    <col min="1" max="1" width="45.7109375" customWidth="1"/>
    <col min="2" max="2" width="15.7109375" customWidth="1"/>
    <col min="3" max="53" width="10.7109375" customWidth="1"/>
    <col min="54" max="54" width="11.28515625" customWidth="1"/>
    <col min="55" max="73" width="10.7109375" customWidth="1"/>
  </cols>
  <sheetData>
    <row r="1" spans="1:73" x14ac:dyDescent="0.25"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73" x14ac:dyDescent="0.25">
      <c r="C2" s="23" t="s">
        <v>1</v>
      </c>
      <c r="D2" s="23"/>
      <c r="E2" s="23"/>
      <c r="F2" s="23"/>
      <c r="G2" s="23"/>
      <c r="H2" s="23"/>
      <c r="I2" s="23"/>
      <c r="J2" s="23"/>
      <c r="K2" s="2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73" x14ac:dyDescent="0.25">
      <c r="G3" s="2" t="s">
        <v>2</v>
      </c>
      <c r="H3" s="3" t="s">
        <v>185</v>
      </c>
    </row>
    <row r="5" spans="1:73" s="6" customFormat="1" ht="20.100000000000001" customHeight="1" x14ac:dyDescent="0.25">
      <c r="A5" s="24" t="s">
        <v>3</v>
      </c>
      <c r="B5" s="24" t="s">
        <v>4</v>
      </c>
      <c r="C5" s="26" t="s">
        <v>5</v>
      </c>
      <c r="D5" s="26"/>
      <c r="E5" s="26"/>
      <c r="F5" s="26"/>
      <c r="G5" s="27" t="s">
        <v>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31" t="s">
        <v>7</v>
      </c>
      <c r="AC5" s="31"/>
      <c r="AD5" s="31"/>
      <c r="AE5" s="27" t="s">
        <v>8</v>
      </c>
      <c r="AF5" s="27"/>
      <c r="AG5" s="27"/>
      <c r="AH5" s="30" t="s">
        <v>9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 t="s">
        <v>10</v>
      </c>
      <c r="BM5" s="30"/>
      <c r="BN5" s="30"/>
      <c r="BO5" s="30"/>
      <c r="BP5" s="30"/>
      <c r="BQ5" s="30"/>
      <c r="BR5" s="30"/>
      <c r="BS5" s="30"/>
      <c r="BT5" s="29" t="s">
        <v>11</v>
      </c>
      <c r="BU5" s="29" t="s">
        <v>12</v>
      </c>
    </row>
    <row r="6" spans="1:73" s="6" customFormat="1" ht="20.100000000000001" customHeight="1" x14ac:dyDescent="0.25">
      <c r="A6" s="24"/>
      <c r="B6" s="24"/>
      <c r="C6" s="26"/>
      <c r="D6" s="26"/>
      <c r="E6" s="26"/>
      <c r="F6" s="26"/>
      <c r="G6" s="27" t="s">
        <v>13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 t="s">
        <v>14</v>
      </c>
      <c r="T6" s="27"/>
      <c r="U6" s="27"/>
      <c r="V6" s="27"/>
      <c r="W6" s="27"/>
      <c r="X6" s="27"/>
      <c r="Y6" s="27"/>
      <c r="Z6" s="27"/>
      <c r="AA6" s="27"/>
      <c r="AB6" s="31"/>
      <c r="AC6" s="31"/>
      <c r="AD6" s="31"/>
      <c r="AE6" s="27"/>
      <c r="AF6" s="27"/>
      <c r="AG6" s="27"/>
      <c r="AH6" s="30" t="s">
        <v>15</v>
      </c>
      <c r="AI6" s="30"/>
      <c r="AJ6" s="30"/>
      <c r="AK6" s="30"/>
      <c r="AL6" s="30" t="s">
        <v>16</v>
      </c>
      <c r="AM6" s="30"/>
      <c r="AN6" s="30"/>
      <c r="AO6" s="30"/>
      <c r="AP6" s="30" t="s">
        <v>17</v>
      </c>
      <c r="AQ6" s="30"/>
      <c r="AR6" s="30"/>
      <c r="AS6" s="30"/>
      <c r="AT6" s="30" t="s">
        <v>18</v>
      </c>
      <c r="AU6" s="30"/>
      <c r="AV6" s="30"/>
      <c r="AW6" s="30"/>
      <c r="AX6" s="30" t="s">
        <v>19</v>
      </c>
      <c r="AY6" s="30"/>
      <c r="AZ6" s="30"/>
      <c r="BA6" s="30"/>
      <c r="BB6" s="24" t="s">
        <v>20</v>
      </c>
      <c r="BC6" s="24" t="s">
        <v>21</v>
      </c>
      <c r="BD6" s="30" t="s">
        <v>22</v>
      </c>
      <c r="BE6" s="30"/>
      <c r="BF6" s="30"/>
      <c r="BG6" s="30"/>
      <c r="BH6" s="30" t="s">
        <v>23</v>
      </c>
      <c r="BI6" s="30"/>
      <c r="BJ6" s="30"/>
      <c r="BK6" s="30"/>
      <c r="BL6" s="30" t="s">
        <v>24</v>
      </c>
      <c r="BM6" s="30"/>
      <c r="BN6" s="30"/>
      <c r="BO6" s="30"/>
      <c r="BP6" s="30" t="s">
        <v>25</v>
      </c>
      <c r="BQ6" s="30"/>
      <c r="BR6" s="30"/>
      <c r="BS6" s="30"/>
      <c r="BT6" s="29"/>
      <c r="BU6" s="29"/>
    </row>
    <row r="7" spans="1:73" s="6" customFormat="1" ht="39.950000000000003" customHeight="1" x14ac:dyDescent="0.25">
      <c r="A7" s="24"/>
      <c r="B7" s="24"/>
      <c r="C7" s="7" t="s">
        <v>33</v>
      </c>
      <c r="D7" s="7" t="s">
        <v>26</v>
      </c>
      <c r="E7" s="7" t="s">
        <v>27</v>
      </c>
      <c r="F7" s="8"/>
      <c r="G7" s="28" t="s">
        <v>28</v>
      </c>
      <c r="H7" s="28"/>
      <c r="I7" s="28"/>
      <c r="J7" s="28" t="s">
        <v>29</v>
      </c>
      <c r="K7" s="28"/>
      <c r="L7" s="28"/>
      <c r="M7" s="28" t="s">
        <v>30</v>
      </c>
      <c r="N7" s="28"/>
      <c r="O7" s="28"/>
      <c r="P7" s="28" t="s">
        <v>31</v>
      </c>
      <c r="Q7" s="28"/>
      <c r="R7" s="28"/>
      <c r="S7" s="28" t="s">
        <v>28</v>
      </c>
      <c r="T7" s="28"/>
      <c r="U7" s="28"/>
      <c r="V7" s="28" t="s">
        <v>29</v>
      </c>
      <c r="W7" s="28"/>
      <c r="X7" s="28"/>
      <c r="Y7" s="28" t="s">
        <v>32</v>
      </c>
      <c r="Z7" s="28"/>
      <c r="AA7" s="28"/>
      <c r="AB7" s="31"/>
      <c r="AC7" s="31"/>
      <c r="AD7" s="31"/>
      <c r="AE7" s="27"/>
      <c r="AF7" s="27"/>
      <c r="AG7" s="27"/>
      <c r="AH7" s="7" t="s">
        <v>33</v>
      </c>
      <c r="AI7" s="7" t="s">
        <v>26</v>
      </c>
      <c r="AJ7" s="7" t="s">
        <v>27</v>
      </c>
      <c r="AK7" s="8"/>
      <c r="AL7" s="7" t="s">
        <v>33</v>
      </c>
      <c r="AM7" s="7" t="s">
        <v>26</v>
      </c>
      <c r="AN7" s="7" t="s">
        <v>27</v>
      </c>
      <c r="AO7" s="8"/>
      <c r="AP7" s="7" t="s">
        <v>33</v>
      </c>
      <c r="AQ7" s="7" t="s">
        <v>26</v>
      </c>
      <c r="AR7" s="7" t="s">
        <v>27</v>
      </c>
      <c r="AS7" s="8"/>
      <c r="AT7" s="7" t="s">
        <v>33</v>
      </c>
      <c r="AU7" s="7" t="s">
        <v>26</v>
      </c>
      <c r="AV7" s="7" t="s">
        <v>27</v>
      </c>
      <c r="AW7" s="8"/>
      <c r="AX7" s="7" t="s">
        <v>33</v>
      </c>
      <c r="AY7" s="7" t="s">
        <v>26</v>
      </c>
      <c r="AZ7" s="7" t="s">
        <v>27</v>
      </c>
      <c r="BA7" s="9"/>
      <c r="BB7" s="24"/>
      <c r="BC7" s="24"/>
      <c r="BD7" s="7" t="s">
        <v>33</v>
      </c>
      <c r="BE7" s="7" t="s">
        <v>26</v>
      </c>
      <c r="BF7" s="7" t="s">
        <v>34</v>
      </c>
      <c r="BG7" s="10"/>
      <c r="BH7" s="7" t="s">
        <v>33</v>
      </c>
      <c r="BI7" s="7" t="s">
        <v>26</v>
      </c>
      <c r="BJ7" s="7" t="s">
        <v>34</v>
      </c>
      <c r="BK7" s="9"/>
      <c r="BL7" s="7" t="s">
        <v>33</v>
      </c>
      <c r="BM7" s="7" t="s">
        <v>26</v>
      </c>
      <c r="BN7" s="7" t="s">
        <v>34</v>
      </c>
      <c r="BO7" s="9"/>
      <c r="BP7" s="11" t="s">
        <v>33</v>
      </c>
      <c r="BQ7" s="7" t="s">
        <v>26</v>
      </c>
      <c r="BR7" s="7" t="s">
        <v>34</v>
      </c>
      <c r="BS7" s="9"/>
      <c r="BT7" s="7" t="s">
        <v>34</v>
      </c>
      <c r="BU7" s="7" t="s">
        <v>34</v>
      </c>
    </row>
    <row r="8" spans="1:73" s="6" customFormat="1" ht="39.950000000000003" customHeight="1" thickBot="1" x14ac:dyDescent="0.3">
      <c r="A8" s="25"/>
      <c r="B8" s="25"/>
      <c r="C8" s="12" t="s">
        <v>186</v>
      </c>
      <c r="D8" s="12" t="s">
        <v>187</v>
      </c>
      <c r="E8" s="13" t="s">
        <v>187</v>
      </c>
      <c r="F8" s="14" t="s">
        <v>35</v>
      </c>
      <c r="G8" s="15" t="s">
        <v>36</v>
      </c>
      <c r="H8" s="15" t="s">
        <v>37</v>
      </c>
      <c r="I8" s="15" t="s">
        <v>38</v>
      </c>
      <c r="J8" s="15" t="s">
        <v>36</v>
      </c>
      <c r="K8" s="15" t="s">
        <v>37</v>
      </c>
      <c r="L8" s="15" t="s">
        <v>38</v>
      </c>
      <c r="M8" s="15" t="s">
        <v>36</v>
      </c>
      <c r="N8" s="15" t="s">
        <v>37</v>
      </c>
      <c r="O8" s="15" t="s">
        <v>38</v>
      </c>
      <c r="P8" s="15" t="s">
        <v>36</v>
      </c>
      <c r="Q8" s="15" t="s">
        <v>37</v>
      </c>
      <c r="R8" s="15" t="s">
        <v>38</v>
      </c>
      <c r="S8" s="15" t="s">
        <v>36</v>
      </c>
      <c r="T8" s="15" t="s">
        <v>37</v>
      </c>
      <c r="U8" s="15" t="s">
        <v>38</v>
      </c>
      <c r="V8" s="15" t="s">
        <v>36</v>
      </c>
      <c r="W8" s="15" t="s">
        <v>37</v>
      </c>
      <c r="X8" s="15" t="s">
        <v>38</v>
      </c>
      <c r="Y8" s="15" t="s">
        <v>36</v>
      </c>
      <c r="Z8" s="15" t="s">
        <v>37</v>
      </c>
      <c r="AA8" s="15" t="s">
        <v>38</v>
      </c>
      <c r="AB8" s="15" t="s">
        <v>36</v>
      </c>
      <c r="AC8" s="15" t="s">
        <v>39</v>
      </c>
      <c r="AD8" s="15" t="s">
        <v>38</v>
      </c>
      <c r="AE8" s="15" t="s">
        <v>36</v>
      </c>
      <c r="AF8" s="15" t="s">
        <v>37</v>
      </c>
      <c r="AG8" s="15" t="s">
        <v>38</v>
      </c>
      <c r="AH8" s="12" t="s">
        <v>186</v>
      </c>
      <c r="AI8" s="12" t="s">
        <v>187</v>
      </c>
      <c r="AJ8" s="13" t="s">
        <v>187</v>
      </c>
      <c r="AK8" s="14" t="s">
        <v>35</v>
      </c>
      <c r="AL8" s="12" t="s">
        <v>186</v>
      </c>
      <c r="AM8" s="12" t="s">
        <v>187</v>
      </c>
      <c r="AN8" s="13" t="s">
        <v>187</v>
      </c>
      <c r="AO8" s="14" t="s">
        <v>35</v>
      </c>
      <c r="AP8" s="12" t="s">
        <v>186</v>
      </c>
      <c r="AQ8" s="12" t="s">
        <v>187</v>
      </c>
      <c r="AR8" s="13" t="s">
        <v>187</v>
      </c>
      <c r="AS8" s="14" t="s">
        <v>35</v>
      </c>
      <c r="AT8" s="12" t="str">
        <f>$C$8</f>
        <v>$cell_lastYear</v>
      </c>
      <c r="AU8" s="12" t="s">
        <v>187</v>
      </c>
      <c r="AV8" s="13" t="s">
        <v>187</v>
      </c>
      <c r="AW8" s="14" t="s">
        <v>35</v>
      </c>
      <c r="AX8" s="12" t="s">
        <v>186</v>
      </c>
      <c r="AY8" s="12" t="s">
        <v>187</v>
      </c>
      <c r="AZ8" s="13" t="s">
        <v>187</v>
      </c>
      <c r="BA8" s="14" t="s">
        <v>35</v>
      </c>
      <c r="BB8" s="13" t="s">
        <v>187</v>
      </c>
      <c r="BC8" s="13" t="s">
        <v>187</v>
      </c>
      <c r="BD8" s="12" t="s">
        <v>186</v>
      </c>
      <c r="BE8" s="12" t="s">
        <v>187</v>
      </c>
      <c r="BF8" s="13" t="s">
        <v>187</v>
      </c>
      <c r="BG8" s="14" t="s">
        <v>35</v>
      </c>
      <c r="BH8" s="12" t="s">
        <v>186</v>
      </c>
      <c r="BI8" s="12" t="s">
        <v>187</v>
      </c>
      <c r="BJ8" s="13" t="s">
        <v>187</v>
      </c>
      <c r="BK8" s="14" t="s">
        <v>35</v>
      </c>
      <c r="BL8" s="12" t="s">
        <v>186</v>
      </c>
      <c r="BM8" s="12" t="s">
        <v>187</v>
      </c>
      <c r="BN8" s="13" t="s">
        <v>187</v>
      </c>
      <c r="BO8" s="14" t="s">
        <v>35</v>
      </c>
      <c r="BP8" s="12" t="s">
        <v>186</v>
      </c>
      <c r="BQ8" s="12" t="s">
        <v>187</v>
      </c>
      <c r="BR8" s="13" t="s">
        <v>187</v>
      </c>
      <c r="BS8" s="14" t="s">
        <v>35</v>
      </c>
      <c r="BT8" s="12" t="s">
        <v>187</v>
      </c>
      <c r="BU8" s="13" t="s">
        <v>187</v>
      </c>
    </row>
    <row r="9" spans="1:73" s="5" customFormat="1" ht="20.100000000000001" customHeight="1" thickBot="1" x14ac:dyDescent="0.3">
      <c r="A9" s="16" t="s">
        <v>89</v>
      </c>
      <c r="B9" s="17"/>
      <c r="C9" s="19" t="s">
        <v>40</v>
      </c>
      <c r="D9" s="19" t="s">
        <v>41</v>
      </c>
      <c r="E9" s="19" t="s">
        <v>42</v>
      </c>
      <c r="F9" s="19" t="s">
        <v>163</v>
      </c>
      <c r="G9" s="19" t="s">
        <v>43</v>
      </c>
      <c r="H9" s="19" t="s">
        <v>44</v>
      </c>
      <c r="I9" s="19" t="s">
        <v>173</v>
      </c>
      <c r="J9" s="19" t="s">
        <v>45</v>
      </c>
      <c r="K9" s="19" t="s">
        <v>46</v>
      </c>
      <c r="L9" s="19" t="s">
        <v>174</v>
      </c>
      <c r="M9" s="19" t="s">
        <v>47</v>
      </c>
      <c r="N9" s="19" t="s">
        <v>48</v>
      </c>
      <c r="O9" s="19" t="s">
        <v>175</v>
      </c>
      <c r="P9" s="19" t="s">
        <v>49</v>
      </c>
      <c r="Q9" s="19" t="s">
        <v>50</v>
      </c>
      <c r="R9" s="19" t="s">
        <v>176</v>
      </c>
      <c r="S9" s="19" t="s">
        <v>51</v>
      </c>
      <c r="T9" s="19" t="s">
        <v>52</v>
      </c>
      <c r="U9" s="19" t="s">
        <v>177</v>
      </c>
      <c r="V9" s="19" t="s">
        <v>53</v>
      </c>
      <c r="W9" s="19" t="s">
        <v>54</v>
      </c>
      <c r="X9" s="19" t="s">
        <v>178</v>
      </c>
      <c r="Y9" s="19" t="s">
        <v>55</v>
      </c>
      <c r="Z9" s="19" t="s">
        <v>56</v>
      </c>
      <c r="AA9" s="19" t="s">
        <v>179</v>
      </c>
      <c r="AB9" s="19" t="s">
        <v>57</v>
      </c>
      <c r="AC9" s="19" t="s">
        <v>58</v>
      </c>
      <c r="AD9" s="19" t="s">
        <v>180</v>
      </c>
      <c r="AE9" s="19" t="s">
        <v>59</v>
      </c>
      <c r="AF9" s="19" t="s">
        <v>60</v>
      </c>
      <c r="AG9" s="19" t="s">
        <v>181</v>
      </c>
      <c r="AH9" s="19" t="s">
        <v>61</v>
      </c>
      <c r="AI9" s="19" t="s">
        <v>62</v>
      </c>
      <c r="AJ9" s="19" t="s">
        <v>63</v>
      </c>
      <c r="AK9" s="19" t="s">
        <v>164</v>
      </c>
      <c r="AL9" s="19" t="s">
        <v>64</v>
      </c>
      <c r="AM9" s="19" t="s">
        <v>65</v>
      </c>
      <c r="AN9" s="19" t="s">
        <v>66</v>
      </c>
      <c r="AO9" s="19" t="s">
        <v>165</v>
      </c>
      <c r="AP9" s="19" t="s">
        <v>67</v>
      </c>
      <c r="AQ9" s="19" t="s">
        <v>68</v>
      </c>
      <c r="AR9" s="19" t="s">
        <v>69</v>
      </c>
      <c r="AS9" s="19" t="s">
        <v>166</v>
      </c>
      <c r="AT9" s="19" t="s">
        <v>70</v>
      </c>
      <c r="AU9" s="19" t="s">
        <v>71</v>
      </c>
      <c r="AV9" s="19" t="s">
        <v>72</v>
      </c>
      <c r="AW9" s="19" t="s">
        <v>167</v>
      </c>
      <c r="AX9" s="19" t="s">
        <v>73</v>
      </c>
      <c r="AY9" s="19" t="s">
        <v>74</v>
      </c>
      <c r="AZ9" s="19" t="s">
        <v>75</v>
      </c>
      <c r="BA9" s="19" t="s">
        <v>168</v>
      </c>
      <c r="BB9" s="19" t="s">
        <v>76</v>
      </c>
      <c r="BC9" s="19" t="s">
        <v>77</v>
      </c>
      <c r="BD9" s="19" t="s">
        <v>78</v>
      </c>
      <c r="BE9" s="19" t="s">
        <v>79</v>
      </c>
      <c r="BF9" s="19" t="s">
        <v>80</v>
      </c>
      <c r="BG9" s="19" t="s">
        <v>169</v>
      </c>
      <c r="BH9" s="19" t="s">
        <v>81</v>
      </c>
      <c r="BI9" s="19" t="s">
        <v>82</v>
      </c>
      <c r="BJ9" s="19" t="s">
        <v>83</v>
      </c>
      <c r="BK9" s="19" t="s">
        <v>170</v>
      </c>
      <c r="BL9" s="19" t="s">
        <v>84</v>
      </c>
      <c r="BM9" s="19" t="s">
        <v>85</v>
      </c>
      <c r="BN9" s="19" t="s">
        <v>86</v>
      </c>
      <c r="BO9" s="19" t="s">
        <v>171</v>
      </c>
      <c r="BP9" s="19" t="s">
        <v>182</v>
      </c>
      <c r="BQ9" s="19" t="s">
        <v>183</v>
      </c>
      <c r="BR9" s="19" t="s">
        <v>184</v>
      </c>
      <c r="BS9" s="19" t="s">
        <v>172</v>
      </c>
      <c r="BT9" s="19" t="s">
        <v>87</v>
      </c>
      <c r="BU9" s="20" t="s">
        <v>88</v>
      </c>
    </row>
    <row r="10" spans="1:73" s="4" customFormat="1" ht="18" customHeight="1" x14ac:dyDescent="0.25">
      <c r="A10" s="18" t="s">
        <v>90</v>
      </c>
      <c r="B10" s="18" t="s">
        <v>91</v>
      </c>
      <c r="C10" s="21" t="s">
        <v>92</v>
      </c>
      <c r="D10" s="21" t="s">
        <v>93</v>
      </c>
      <c r="E10" s="21" t="s">
        <v>94</v>
      </c>
      <c r="F10" s="21" t="s">
        <v>95</v>
      </c>
      <c r="G10" s="21" t="s">
        <v>96</v>
      </c>
      <c r="H10" s="21" t="s">
        <v>97</v>
      </c>
      <c r="I10" s="21" t="s">
        <v>98</v>
      </c>
      <c r="J10" s="21" t="s">
        <v>99</v>
      </c>
      <c r="K10" s="21" t="s">
        <v>100</v>
      </c>
      <c r="L10" s="21" t="s">
        <v>101</v>
      </c>
      <c r="M10" s="21" t="s">
        <v>102</v>
      </c>
      <c r="N10" s="21" t="s">
        <v>103</v>
      </c>
      <c r="O10" s="21" t="s">
        <v>104</v>
      </c>
      <c r="P10" s="21" t="s">
        <v>105</v>
      </c>
      <c r="Q10" s="21" t="s">
        <v>106</v>
      </c>
      <c r="R10" s="21" t="s">
        <v>107</v>
      </c>
      <c r="S10" s="21" t="s">
        <v>108</v>
      </c>
      <c r="T10" s="21" t="s">
        <v>109</v>
      </c>
      <c r="U10" s="21" t="s">
        <v>110</v>
      </c>
      <c r="V10" s="21" t="s">
        <v>111</v>
      </c>
      <c r="W10" s="21" t="s">
        <v>112</v>
      </c>
      <c r="X10" s="21" t="s">
        <v>113</v>
      </c>
      <c r="Y10" s="21" t="s">
        <v>114</v>
      </c>
      <c r="Z10" s="21" t="s">
        <v>115</v>
      </c>
      <c r="AA10" s="21" t="s">
        <v>116</v>
      </c>
      <c r="AB10" s="21" t="s">
        <v>117</v>
      </c>
      <c r="AC10" s="21" t="s">
        <v>118</v>
      </c>
      <c r="AD10" s="21" t="s">
        <v>119</v>
      </c>
      <c r="AE10" s="21" t="s">
        <v>120</v>
      </c>
      <c r="AF10" s="21" t="s">
        <v>121</v>
      </c>
      <c r="AG10" s="21" t="s">
        <v>122</v>
      </c>
      <c r="AH10" s="21" t="s">
        <v>123</v>
      </c>
      <c r="AI10" s="21" t="s">
        <v>124</v>
      </c>
      <c r="AJ10" s="21" t="s">
        <v>125</v>
      </c>
      <c r="AK10" s="21" t="s">
        <v>126</v>
      </c>
      <c r="AL10" s="21" t="s">
        <v>127</v>
      </c>
      <c r="AM10" s="21" t="s">
        <v>128</v>
      </c>
      <c r="AN10" s="21" t="s">
        <v>129</v>
      </c>
      <c r="AO10" s="21" t="s">
        <v>130</v>
      </c>
      <c r="AP10" s="22" t="s">
        <v>131</v>
      </c>
      <c r="AQ10" s="22" t="s">
        <v>132</v>
      </c>
      <c r="AR10" s="22" t="s">
        <v>133</v>
      </c>
      <c r="AS10" s="21" t="s">
        <v>134</v>
      </c>
      <c r="AT10" s="21" t="s">
        <v>135</v>
      </c>
      <c r="AU10" s="21" t="s">
        <v>136</v>
      </c>
      <c r="AV10" s="21" t="s">
        <v>137</v>
      </c>
      <c r="AW10" s="21" t="s">
        <v>138</v>
      </c>
      <c r="AX10" s="21" t="s">
        <v>139</v>
      </c>
      <c r="AY10" s="21" t="s">
        <v>140</v>
      </c>
      <c r="AZ10" s="21" t="s">
        <v>141</v>
      </c>
      <c r="BA10" s="21" t="s">
        <v>142</v>
      </c>
      <c r="BB10" s="21" t="s">
        <v>143</v>
      </c>
      <c r="BC10" s="21" t="s">
        <v>144</v>
      </c>
      <c r="BD10" s="21" t="s">
        <v>145</v>
      </c>
      <c r="BE10" s="21" t="s">
        <v>146</v>
      </c>
      <c r="BF10" s="21" t="s">
        <v>147</v>
      </c>
      <c r="BG10" s="21" t="s">
        <v>148</v>
      </c>
      <c r="BH10" s="21" t="s">
        <v>149</v>
      </c>
      <c r="BI10" s="21" t="s">
        <v>150</v>
      </c>
      <c r="BJ10" s="21" t="s">
        <v>151</v>
      </c>
      <c r="BK10" s="21" t="s">
        <v>152</v>
      </c>
      <c r="BL10" s="21" t="s">
        <v>153</v>
      </c>
      <c r="BM10" s="21" t="s">
        <v>154</v>
      </c>
      <c r="BN10" s="21" t="s">
        <v>155</v>
      </c>
      <c r="BO10" s="21" t="s">
        <v>156</v>
      </c>
      <c r="BP10" s="21" t="s">
        <v>157</v>
      </c>
      <c r="BQ10" s="21" t="s">
        <v>158</v>
      </c>
      <c r="BR10" s="21" t="s">
        <v>159</v>
      </c>
      <c r="BS10" s="21" t="s">
        <v>160</v>
      </c>
      <c r="BT10" s="21" t="s">
        <v>161</v>
      </c>
      <c r="BU10" s="21" t="s">
        <v>162</v>
      </c>
    </row>
  </sheetData>
  <mergeCells count="32">
    <mergeCell ref="AB5:AD7"/>
    <mergeCell ref="AE5:AG7"/>
    <mergeCell ref="AH5:BK5"/>
    <mergeCell ref="BL5:BS5"/>
    <mergeCell ref="BT5:BT6"/>
    <mergeCell ref="BU5:BU6"/>
    <mergeCell ref="AH6:AK6"/>
    <mergeCell ref="AL6:AO6"/>
    <mergeCell ref="AP6:AS6"/>
    <mergeCell ref="AT6:AW6"/>
    <mergeCell ref="BP6:BS6"/>
    <mergeCell ref="AX6:BA6"/>
    <mergeCell ref="BB6:BB7"/>
    <mergeCell ref="BC6:BC7"/>
    <mergeCell ref="BD6:BG6"/>
    <mergeCell ref="BH6:BK6"/>
    <mergeCell ref="BL6:BO6"/>
    <mergeCell ref="C1:L1"/>
    <mergeCell ref="C2:K2"/>
    <mergeCell ref="A5:A8"/>
    <mergeCell ref="B5:B8"/>
    <mergeCell ref="C5:F6"/>
    <mergeCell ref="G5:AA5"/>
    <mergeCell ref="G6:R6"/>
    <mergeCell ref="S6:AA6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2026-03-05T13:46:01Z</dcterms:modified>
</cp:coreProperties>
</file>